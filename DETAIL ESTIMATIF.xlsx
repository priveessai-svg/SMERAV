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9200" windowHeight="6930"/>
  </bookViews>
  <sheets>
    <sheet name="BDP" sheetId="1" r:id="rId1"/>
  </sheets>
  <definedNames>
    <definedName name="_xlnm.Print_Area" localSheetId="0">BDP!$A$1:$F$56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9" i="1"/>
  <c r="F10" i="1"/>
  <c r="F11" i="1"/>
  <c r="F14" i="1"/>
  <c r="F16" i="1"/>
  <c r="F17" i="1"/>
  <c r="F19" i="1"/>
  <c r="F21" i="1"/>
  <c r="F22" i="1"/>
  <c r="F24" i="1"/>
  <c r="F26" i="1"/>
  <c r="F29" i="1"/>
  <c r="F31" i="1"/>
  <c r="F33" i="1"/>
  <c r="F35" i="1"/>
  <c r="F36" i="1"/>
  <c r="F37" i="1"/>
  <c r="F39" i="1"/>
  <c r="F40" i="1"/>
  <c r="F41" i="1"/>
  <c r="F44" i="1"/>
  <c r="F45" i="1"/>
  <c r="F46" i="1"/>
  <c r="F48" i="1"/>
  <c r="F49" i="1"/>
  <c r="F50" i="1"/>
  <c r="F4" i="1"/>
  <c r="D28" i="1" l="1"/>
  <c r="F28" i="1" s="1"/>
  <c r="D32" i="1" l="1"/>
  <c r="F32" i="1" s="1"/>
  <c r="D18" i="1"/>
  <c r="F18" i="1" s="1"/>
  <c r="D15" i="1"/>
  <c r="F15" i="1" s="1"/>
  <c r="D23" i="1"/>
  <c r="F23" i="1" s="1"/>
  <c r="D27" i="1"/>
  <c r="F27" i="1" s="1"/>
  <c r="E51" i="1" l="1"/>
  <c r="E52" i="1" s="1"/>
  <c r="E53" i="1" s="1"/>
</calcChain>
</file>

<file path=xl/sharedStrings.xml><?xml version="1.0" encoding="utf-8"?>
<sst xmlns="http://schemas.openxmlformats.org/spreadsheetml/2006/main" count="142" uniqueCount="109">
  <si>
    <t>N° Prix</t>
  </si>
  <si>
    <t>DÉSIGNATIONS</t>
  </si>
  <si>
    <t>U</t>
  </si>
  <si>
    <t>Qté</t>
  </si>
  <si>
    <t>PT en DH HTVA</t>
  </si>
  <si>
    <t>I</t>
  </si>
  <si>
    <t>TRAVAUX  DE GENIE CIVIL</t>
  </si>
  <si>
    <t>I-1</t>
  </si>
  <si>
    <t>I-1-1</t>
  </si>
  <si>
    <t>I-1-2</t>
  </si>
  <si>
    <t>II</t>
  </si>
  <si>
    <t>CANALISATIONS ET ACCESSOIRES HYDRAULIQUES</t>
  </si>
  <si>
    <t>II-1</t>
  </si>
  <si>
    <t xml:space="preserve">Tuyaux en fonte ductile C40 </t>
  </si>
  <si>
    <t>II-1-1</t>
  </si>
  <si>
    <t>Tuyau en fonte ductile DN150 C40</t>
  </si>
  <si>
    <t>ml</t>
  </si>
  <si>
    <t>II-1-2</t>
  </si>
  <si>
    <t>Tuyau en fonte ductile DN200 C40</t>
  </si>
  <si>
    <t>II-2</t>
  </si>
  <si>
    <t>Accessoires et Pièces de Raccordement en PFA16 ISO PN10</t>
  </si>
  <si>
    <t>II-2-1</t>
  </si>
  <si>
    <t xml:space="preserve">Fourniture, transport et pose des Té (BB/TB) à Bouts Bridés et Tubulure Bridée </t>
  </si>
  <si>
    <t>II-2-1-1</t>
  </si>
  <si>
    <t>Té DN 150/150</t>
  </si>
  <si>
    <t>II-2-1-2</t>
  </si>
  <si>
    <t xml:space="preserve"> Té DN 200/200 </t>
  </si>
  <si>
    <t>II-2-1-3</t>
  </si>
  <si>
    <t xml:space="preserve"> Té DN 150/60</t>
  </si>
  <si>
    <t>II-2-1-4</t>
  </si>
  <si>
    <t xml:space="preserve"> Té DN 200/60</t>
  </si>
  <si>
    <t>II-2-2</t>
  </si>
  <si>
    <t>Fourniture, transport et pose des Robinets Vannes à Opercule</t>
  </si>
  <si>
    <t>II-2-2-1</t>
  </si>
  <si>
    <t>Vanne à opercule DN 60</t>
  </si>
  <si>
    <t>II-2-2-2</t>
  </si>
  <si>
    <t>Vanne à opercule DN 150</t>
  </si>
  <si>
    <t>II-2-2-3</t>
  </si>
  <si>
    <t>Vanne à opercule DN 200</t>
  </si>
  <si>
    <t>II-2-3</t>
  </si>
  <si>
    <t xml:space="preserve">Fourniture, transport et pose des Adaptateurs de bride large tolérance en fonte ductile adaptés pour tout type de conduites ( PVC, Amiante ciment et Fonte) </t>
  </si>
  <si>
    <t>II-2-3-1</t>
  </si>
  <si>
    <t>Adaptateur de bride large tolérance DN 160 /150</t>
  </si>
  <si>
    <t>II-2-3-2</t>
  </si>
  <si>
    <t>Adaptateur de bride large tolérance DN 225/200</t>
  </si>
  <si>
    <t>II-2-3-3</t>
  </si>
  <si>
    <t>Adaptateur de bride large tolérance DN 315/300</t>
  </si>
  <si>
    <t>II-2-4</t>
  </si>
  <si>
    <t xml:space="preserve">Fourniture, transport et pose des Coudes 1/4 à deux brides en fonte ductile </t>
  </si>
  <si>
    <t>II-2-4-1</t>
  </si>
  <si>
    <t>Coudes DN 150</t>
  </si>
  <si>
    <t>II-2-4-2</t>
  </si>
  <si>
    <t>Coudes DN 200</t>
  </si>
  <si>
    <t>II-2-5</t>
  </si>
  <si>
    <t xml:space="preserve">Fourniture et transport et pose des joints de démontage auto-buté en fonte ductile  </t>
  </si>
  <si>
    <t>II-2-5-1</t>
  </si>
  <si>
    <t>Joint de démontage auto-buté DN 150</t>
  </si>
  <si>
    <t>II-2-5-2</t>
  </si>
  <si>
    <t>Joint de démontage auto-buté DN 200</t>
  </si>
  <si>
    <t>II-2-6</t>
  </si>
  <si>
    <t xml:space="preserve">Fourniture et transport et pose de cone de réduction en fonte ductile ou acier galvanisé </t>
  </si>
  <si>
    <t>II-2-6-1</t>
  </si>
  <si>
    <t>Cone de réduction DN 300/200</t>
  </si>
  <si>
    <t>II-2-7</t>
  </si>
  <si>
    <t xml:space="preserve">Fourniture, transport et pose de ventouses Triples fonction  DN60 </t>
  </si>
  <si>
    <t>II-2-8</t>
  </si>
  <si>
    <t xml:space="preserve">Fourniture et pose en tranchée ouverte, et en élévation des pièces spéciales en acier galvanisé à chaud </t>
  </si>
  <si>
    <t>Kg</t>
  </si>
  <si>
    <t>III</t>
  </si>
  <si>
    <t>STABILISATEURS ET ACCESSOIRES</t>
  </si>
  <si>
    <t>III-1</t>
  </si>
  <si>
    <t xml:space="preserve">Fourniture, transport et  pose de stabilisateur de pression aval  avec cicuit bi-étagé conforme au descriptif du CPS </t>
  </si>
  <si>
    <t>III-1-1</t>
  </si>
  <si>
    <t>Stabilisateur de pression DN 150 PFA16 ISO PN10</t>
  </si>
  <si>
    <t>III-1-2</t>
  </si>
  <si>
    <t>Stabilisateur de pression DN 200 PFA16 ISO PN10</t>
  </si>
  <si>
    <t>III-2</t>
  </si>
  <si>
    <t>Fourniture, transport et  pose de boite à crepine adaptée au stabilisateur conforme au descriptif du CPS</t>
  </si>
  <si>
    <t>III-2-1</t>
  </si>
  <si>
    <t xml:space="preserve">Boîte à crépine DN 150 PFA16 ISO PN10  </t>
  </si>
  <si>
    <t>III-2-2</t>
  </si>
  <si>
    <t xml:space="preserve">Boîte à crépine DN 200 PFA16 ISO PN10  </t>
  </si>
  <si>
    <t xml:space="preserve">Montant TVA (20%) </t>
  </si>
  <si>
    <t>Regard pour Stabilisateur de pression DN100</t>
  </si>
  <si>
    <t>II-1-3</t>
  </si>
  <si>
    <t>Té DN 100/100</t>
  </si>
  <si>
    <t>II-2-1-5</t>
  </si>
  <si>
    <t>II-2-1-6</t>
  </si>
  <si>
    <t xml:space="preserve"> Té DN 100/60</t>
  </si>
  <si>
    <t>II-2-2-4</t>
  </si>
  <si>
    <t>Vanne à opercule DN 100</t>
  </si>
  <si>
    <t>II-2-3-4</t>
  </si>
  <si>
    <t>Adaptateur de bride large tolérance DN 110 /100</t>
  </si>
  <si>
    <t>II-2-4-3</t>
  </si>
  <si>
    <t>Coudes DN 100</t>
  </si>
  <si>
    <t>Joint de démontage auto-buté DN 100</t>
  </si>
  <si>
    <t>II-2-5-3</t>
  </si>
  <si>
    <t>Stabilisateur de pression DN 100 PFA16 ISO PN10</t>
  </si>
  <si>
    <t>III-1-3</t>
  </si>
  <si>
    <t>III-2-3</t>
  </si>
  <si>
    <t xml:space="preserve">Boîte à crépine DN 100  PFA16 ISO PN10  </t>
  </si>
  <si>
    <t>I-1-3</t>
  </si>
  <si>
    <t xml:space="preserve">PU en DH HTVA </t>
  </si>
  <si>
    <t xml:space="preserve">Montant Total Hors TVA </t>
  </si>
  <si>
    <t xml:space="preserve">Montant Total TTC </t>
  </si>
  <si>
    <r>
      <t>Construction des regards pour stabilisateurs de pression aval</t>
    </r>
    <r>
      <rPr>
        <b/>
        <sz val="10"/>
        <color rgb="FFFF0000"/>
        <rFont val="Times New Roman"/>
        <family val="1"/>
      </rPr>
      <t xml:space="preserve">  </t>
    </r>
  </si>
  <si>
    <r>
      <t>Tuyau en fonte ductile DN100</t>
    </r>
    <r>
      <rPr>
        <sz val="10"/>
        <color rgb="FFFF0000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C40</t>
    </r>
  </si>
  <si>
    <t xml:space="preserve">Regard pour Stabilisateur de pression DN150 </t>
  </si>
  <si>
    <t xml:space="preserve">Regard pour Stabilisateur de pression DN200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</si>
</sst>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3"/>
      <color theme="1"/>
      <name val="Times"/>
      <family val="1"/>
    </font>
    <font>
      <sz val="11"/>
      <name val="Calibri"/>
      <family val="2"/>
      <scheme val="minor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5" xfId="0" applyFont="1" applyBorder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4" fontId="6" fillId="2" borderId="3" xfId="0" applyNumberFormat="1" applyFont="1" applyFill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4" fontId="6" fillId="2" borderId="6" xfId="0" applyNumberFormat="1" applyFont="1" applyFill="1" applyBorder="1" applyAlignment="1">
      <alignment horizontal="center" vertical="center" wrapText="1"/>
    </xf>
    <xf numFmtId="4" fontId="6" fillId="0" borderId="6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top" wrapText="1"/>
    </xf>
    <xf numFmtId="4" fontId="6" fillId="0" borderId="6" xfId="0" applyNumberFormat="1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3" fontId="6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0" xfId="0" applyFont="1" applyFill="1"/>
    <xf numFmtId="0" fontId="13" fillId="0" borderId="0" xfId="0" applyFont="1"/>
    <xf numFmtId="0" fontId="10" fillId="0" borderId="0" xfId="0" applyFont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4" fontId="2" fillId="0" borderId="7" xfId="0" applyNumberFormat="1" applyFont="1" applyBorder="1" applyAlignment="1" applyProtection="1">
      <alignment horizontal="right" vertical="center" wrapText="1"/>
      <protection locked="0"/>
    </xf>
    <xf numFmtId="0" fontId="1" fillId="0" borderId="9" xfId="0" applyFont="1" applyBorder="1" applyAlignment="1" applyProtection="1">
      <alignment horizontal="right" vertical="center" wrapText="1"/>
      <protection locked="0"/>
    </xf>
    <xf numFmtId="4" fontId="2" fillId="0" borderId="10" xfId="0" applyNumberFormat="1" applyFont="1" applyBorder="1" applyAlignment="1" applyProtection="1">
      <alignment horizontal="right" vertical="center" wrapText="1"/>
      <protection locked="0"/>
    </xf>
    <xf numFmtId="0" fontId="1" fillId="0" borderId="11" xfId="0" applyFont="1" applyBorder="1" applyAlignment="1" applyProtection="1">
      <alignment horizontal="right" vertical="center" wrapText="1"/>
      <protection locked="0"/>
    </xf>
    <xf numFmtId="4" fontId="9" fillId="0" borderId="7" xfId="0" applyNumberFormat="1" applyFont="1" applyBorder="1" applyAlignment="1" applyProtection="1">
      <alignment horizontal="right" vertical="center" wrapText="1"/>
      <protection locked="0"/>
    </xf>
    <xf numFmtId="4" fontId="9" fillId="0" borderId="9" xfId="0" applyNumberFormat="1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view="pageBreakPreview" zoomScale="108" zoomScaleNormal="100" zoomScaleSheetLayoutView="108" workbookViewId="0">
      <selection activeCell="B63" sqref="B63"/>
    </sheetView>
  </sheetViews>
  <sheetFormatPr baseColWidth="10" defaultRowHeight="14.5" x14ac:dyDescent="0.35"/>
  <cols>
    <col min="1" max="1" width="9.26953125" style="4" bestFit="1" customWidth="1"/>
    <col min="2" max="2" width="61.453125" customWidth="1"/>
    <col min="3" max="3" width="7" customWidth="1"/>
    <col min="4" max="4" width="8.81640625" style="2" customWidth="1"/>
    <col min="5" max="5" width="19.1796875" style="3" customWidth="1"/>
    <col min="6" max="6" width="22.81640625" customWidth="1"/>
  </cols>
  <sheetData>
    <row r="1" spans="1:6" ht="25.5" customHeight="1" thickBot="1" x14ac:dyDescent="0.4">
      <c r="A1" s="5" t="s">
        <v>0</v>
      </c>
      <c r="B1" s="6" t="s">
        <v>1</v>
      </c>
      <c r="C1" s="6" t="s">
        <v>2</v>
      </c>
      <c r="D1" s="7" t="s">
        <v>3</v>
      </c>
      <c r="E1" s="7" t="s">
        <v>102</v>
      </c>
      <c r="F1" s="7" t="s">
        <v>4</v>
      </c>
    </row>
    <row r="2" spans="1:6" ht="14.5" customHeight="1" x14ac:dyDescent="0.35">
      <c r="A2" s="8" t="s">
        <v>5</v>
      </c>
      <c r="B2" s="9" t="s">
        <v>6</v>
      </c>
      <c r="C2" s="10"/>
      <c r="D2" s="11"/>
      <c r="E2" s="12"/>
      <c r="F2" s="13"/>
    </row>
    <row r="3" spans="1:6" ht="14.5" customHeight="1" x14ac:dyDescent="0.35">
      <c r="A3" s="14" t="s">
        <v>7</v>
      </c>
      <c r="B3" s="15" t="s">
        <v>105</v>
      </c>
      <c r="C3" s="16"/>
      <c r="D3" s="17"/>
      <c r="E3" s="18"/>
      <c r="F3" s="19"/>
    </row>
    <row r="4" spans="1:6" ht="14.5" customHeight="1" x14ac:dyDescent="0.35">
      <c r="A4" s="14" t="s">
        <v>8</v>
      </c>
      <c r="B4" s="20" t="s">
        <v>83</v>
      </c>
      <c r="C4" s="16" t="s">
        <v>2</v>
      </c>
      <c r="D4" s="17">
        <v>1</v>
      </c>
      <c r="E4" s="18">
        <v>18000</v>
      </c>
      <c r="F4" s="21">
        <f>E4*D4</f>
        <v>18000</v>
      </c>
    </row>
    <row r="5" spans="1:6" ht="14.5" customHeight="1" x14ac:dyDescent="0.35">
      <c r="A5" s="14" t="s">
        <v>9</v>
      </c>
      <c r="B5" s="20" t="s">
        <v>107</v>
      </c>
      <c r="C5" s="16" t="s">
        <v>2</v>
      </c>
      <c r="D5" s="17">
        <v>9</v>
      </c>
      <c r="E5" s="18">
        <v>23000</v>
      </c>
      <c r="F5" s="21">
        <f t="shared" ref="F5:F50" si="0">E5*D5</f>
        <v>207000</v>
      </c>
    </row>
    <row r="6" spans="1:6" ht="14.5" customHeight="1" x14ac:dyDescent="0.35">
      <c r="A6" s="14" t="s">
        <v>101</v>
      </c>
      <c r="B6" s="20" t="s">
        <v>108</v>
      </c>
      <c r="C6" s="16" t="s">
        <v>2</v>
      </c>
      <c r="D6" s="17">
        <v>6</v>
      </c>
      <c r="E6" s="18">
        <v>28000</v>
      </c>
      <c r="F6" s="21">
        <f>E6*D6</f>
        <v>168000</v>
      </c>
    </row>
    <row r="7" spans="1:6" ht="14.5" customHeight="1" x14ac:dyDescent="0.35">
      <c r="A7" s="22" t="s">
        <v>10</v>
      </c>
      <c r="B7" s="1" t="s">
        <v>11</v>
      </c>
      <c r="C7" s="16"/>
      <c r="D7" s="17"/>
      <c r="E7" s="18"/>
      <c r="F7" s="21"/>
    </row>
    <row r="8" spans="1:6" ht="14.5" customHeight="1" x14ac:dyDescent="0.35">
      <c r="A8" s="23" t="s">
        <v>12</v>
      </c>
      <c r="B8" s="1" t="s">
        <v>13</v>
      </c>
      <c r="C8" s="16"/>
      <c r="D8" s="17"/>
      <c r="E8" s="18"/>
      <c r="F8" s="21"/>
    </row>
    <row r="9" spans="1:6" ht="14.5" customHeight="1" x14ac:dyDescent="0.35">
      <c r="A9" s="23" t="s">
        <v>14</v>
      </c>
      <c r="B9" s="24" t="s">
        <v>106</v>
      </c>
      <c r="C9" s="16" t="s">
        <v>16</v>
      </c>
      <c r="D9" s="17">
        <v>5</v>
      </c>
      <c r="E9" s="18">
        <v>600</v>
      </c>
      <c r="F9" s="21">
        <f t="shared" si="0"/>
        <v>3000</v>
      </c>
    </row>
    <row r="10" spans="1:6" ht="14.5" customHeight="1" x14ac:dyDescent="0.35">
      <c r="A10" s="23" t="s">
        <v>17</v>
      </c>
      <c r="B10" s="24" t="s">
        <v>15</v>
      </c>
      <c r="C10" s="16" t="s">
        <v>16</v>
      </c>
      <c r="D10" s="17">
        <v>30</v>
      </c>
      <c r="E10" s="18">
        <v>800</v>
      </c>
      <c r="F10" s="21">
        <f t="shared" si="0"/>
        <v>24000</v>
      </c>
    </row>
    <row r="11" spans="1:6" ht="14.5" customHeight="1" x14ac:dyDescent="0.35">
      <c r="A11" s="23" t="s">
        <v>84</v>
      </c>
      <c r="B11" s="24" t="s">
        <v>18</v>
      </c>
      <c r="C11" s="16" t="s">
        <v>16</v>
      </c>
      <c r="D11" s="17">
        <v>28</v>
      </c>
      <c r="E11" s="18">
        <v>1000</v>
      </c>
      <c r="F11" s="21">
        <f t="shared" si="0"/>
        <v>28000</v>
      </c>
    </row>
    <row r="12" spans="1:6" ht="14.5" customHeight="1" x14ac:dyDescent="0.35">
      <c r="A12" s="23" t="s">
        <v>19</v>
      </c>
      <c r="B12" s="25" t="s">
        <v>20</v>
      </c>
      <c r="C12" s="16"/>
      <c r="D12" s="17"/>
      <c r="E12" s="18"/>
      <c r="F12" s="21"/>
    </row>
    <row r="13" spans="1:6" ht="26" x14ac:dyDescent="0.35">
      <c r="A13" s="14" t="s">
        <v>21</v>
      </c>
      <c r="B13" s="26" t="s">
        <v>22</v>
      </c>
      <c r="C13" s="16"/>
      <c r="D13" s="17"/>
      <c r="E13" s="18"/>
      <c r="F13" s="21"/>
    </row>
    <row r="14" spans="1:6" ht="14.5" customHeight="1" x14ac:dyDescent="0.35">
      <c r="A14" s="23" t="s">
        <v>23</v>
      </c>
      <c r="B14" s="24" t="s">
        <v>85</v>
      </c>
      <c r="C14" s="16" t="s">
        <v>2</v>
      </c>
      <c r="D14" s="17">
        <v>2</v>
      </c>
      <c r="E14" s="18">
        <v>1100</v>
      </c>
      <c r="F14" s="21">
        <f t="shared" si="0"/>
        <v>2200</v>
      </c>
    </row>
    <row r="15" spans="1:6" ht="14.5" customHeight="1" x14ac:dyDescent="0.35">
      <c r="A15" s="23" t="s">
        <v>25</v>
      </c>
      <c r="B15" s="24" t="s">
        <v>24</v>
      </c>
      <c r="C15" s="16" t="s">
        <v>2</v>
      </c>
      <c r="D15" s="17">
        <f>9*2</f>
        <v>18</v>
      </c>
      <c r="E15" s="18">
        <v>1700</v>
      </c>
      <c r="F15" s="21">
        <f t="shared" si="0"/>
        <v>30600</v>
      </c>
    </row>
    <row r="16" spans="1:6" ht="14.5" customHeight="1" x14ac:dyDescent="0.35">
      <c r="A16" s="23" t="s">
        <v>27</v>
      </c>
      <c r="B16" s="24" t="s">
        <v>26</v>
      </c>
      <c r="C16" s="16" t="s">
        <v>2</v>
      </c>
      <c r="D16" s="17">
        <v>12</v>
      </c>
      <c r="E16" s="18">
        <v>2800</v>
      </c>
      <c r="F16" s="21">
        <f t="shared" si="0"/>
        <v>33600</v>
      </c>
    </row>
    <row r="17" spans="1:8" ht="14.5" customHeight="1" x14ac:dyDescent="0.35">
      <c r="A17" s="23" t="s">
        <v>29</v>
      </c>
      <c r="B17" s="24" t="s">
        <v>88</v>
      </c>
      <c r="C17" s="16" t="s">
        <v>2</v>
      </c>
      <c r="D17" s="17">
        <v>1</v>
      </c>
      <c r="E17" s="18">
        <v>1200</v>
      </c>
      <c r="F17" s="21">
        <f t="shared" si="0"/>
        <v>1200</v>
      </c>
    </row>
    <row r="18" spans="1:8" ht="14.5" customHeight="1" x14ac:dyDescent="0.35">
      <c r="A18" s="23" t="s">
        <v>86</v>
      </c>
      <c r="B18" s="24" t="s">
        <v>28</v>
      </c>
      <c r="C18" s="16" t="s">
        <v>2</v>
      </c>
      <c r="D18" s="17">
        <f>9*1</f>
        <v>9</v>
      </c>
      <c r="E18" s="18">
        <v>1600</v>
      </c>
      <c r="F18" s="21">
        <f t="shared" si="0"/>
        <v>14400</v>
      </c>
    </row>
    <row r="19" spans="1:8" ht="14.5" customHeight="1" x14ac:dyDescent="0.35">
      <c r="A19" s="23" t="s">
        <v>87</v>
      </c>
      <c r="B19" s="24" t="s">
        <v>30</v>
      </c>
      <c r="C19" s="16" t="s">
        <v>2</v>
      </c>
      <c r="D19" s="17">
        <v>6</v>
      </c>
      <c r="E19" s="18">
        <v>1800</v>
      </c>
      <c r="F19" s="21">
        <f t="shared" si="0"/>
        <v>10800</v>
      </c>
    </row>
    <row r="20" spans="1:8" ht="14.5" customHeight="1" x14ac:dyDescent="0.35">
      <c r="A20" s="23" t="s">
        <v>31</v>
      </c>
      <c r="B20" s="15" t="s">
        <v>32</v>
      </c>
      <c r="C20" s="16"/>
      <c r="D20" s="17"/>
      <c r="E20" s="18"/>
      <c r="F20" s="21"/>
    </row>
    <row r="21" spans="1:8" ht="14.5" customHeight="1" x14ac:dyDescent="0.35">
      <c r="A21" s="23" t="s">
        <v>33</v>
      </c>
      <c r="B21" s="24" t="s">
        <v>34</v>
      </c>
      <c r="C21" s="16" t="s">
        <v>2</v>
      </c>
      <c r="D21" s="17">
        <v>16</v>
      </c>
      <c r="E21" s="18">
        <v>900</v>
      </c>
      <c r="F21" s="21">
        <f t="shared" si="0"/>
        <v>14400</v>
      </c>
    </row>
    <row r="22" spans="1:8" ht="14.5" customHeight="1" x14ac:dyDescent="0.35">
      <c r="A22" s="23" t="s">
        <v>35</v>
      </c>
      <c r="B22" s="24" t="s">
        <v>90</v>
      </c>
      <c r="C22" s="16" t="s">
        <v>2</v>
      </c>
      <c r="D22" s="17">
        <v>3</v>
      </c>
      <c r="E22" s="18">
        <v>1200</v>
      </c>
      <c r="F22" s="21">
        <f t="shared" si="0"/>
        <v>3600</v>
      </c>
    </row>
    <row r="23" spans="1:8" ht="14.5" customHeight="1" x14ac:dyDescent="0.35">
      <c r="A23" s="23" t="s">
        <v>37</v>
      </c>
      <c r="B23" s="24" t="s">
        <v>36</v>
      </c>
      <c r="C23" s="16" t="s">
        <v>2</v>
      </c>
      <c r="D23" s="17">
        <f>9*3</f>
        <v>27</v>
      </c>
      <c r="E23" s="18">
        <v>1800</v>
      </c>
      <c r="F23" s="21">
        <f t="shared" si="0"/>
        <v>48600</v>
      </c>
    </row>
    <row r="24" spans="1:8" ht="14.5" customHeight="1" x14ac:dyDescent="0.35">
      <c r="A24" s="23" t="s">
        <v>89</v>
      </c>
      <c r="B24" s="24" t="s">
        <v>38</v>
      </c>
      <c r="C24" s="16" t="s">
        <v>2</v>
      </c>
      <c r="D24" s="17">
        <v>18</v>
      </c>
      <c r="E24" s="18">
        <v>2500</v>
      </c>
      <c r="F24" s="21">
        <f t="shared" si="0"/>
        <v>45000</v>
      </c>
    </row>
    <row r="25" spans="1:8" ht="39" x14ac:dyDescent="0.35">
      <c r="A25" s="23" t="s">
        <v>39</v>
      </c>
      <c r="B25" s="26" t="s">
        <v>40</v>
      </c>
      <c r="C25" s="16"/>
      <c r="D25" s="17"/>
      <c r="E25" s="18"/>
      <c r="F25" s="21"/>
    </row>
    <row r="26" spans="1:8" ht="14.5" customHeight="1" x14ac:dyDescent="0.35">
      <c r="A26" s="23" t="s">
        <v>41</v>
      </c>
      <c r="B26" s="24" t="s">
        <v>92</v>
      </c>
      <c r="C26" s="16" t="s">
        <v>2</v>
      </c>
      <c r="D26" s="17">
        <v>8</v>
      </c>
      <c r="E26" s="18">
        <v>600</v>
      </c>
      <c r="F26" s="21">
        <f t="shared" si="0"/>
        <v>4800</v>
      </c>
    </row>
    <row r="27" spans="1:8" ht="14.5" customHeight="1" x14ac:dyDescent="0.35">
      <c r="A27" s="23" t="s">
        <v>43</v>
      </c>
      <c r="B27" s="24" t="s">
        <v>42</v>
      </c>
      <c r="C27" s="16" t="s">
        <v>2</v>
      </c>
      <c r="D27" s="17">
        <f>9*8</f>
        <v>72</v>
      </c>
      <c r="E27" s="18">
        <v>900</v>
      </c>
      <c r="F27" s="21">
        <f t="shared" si="0"/>
        <v>64800</v>
      </c>
    </row>
    <row r="28" spans="1:8" ht="14.5" customHeight="1" x14ac:dyDescent="0.35">
      <c r="A28" s="23" t="s">
        <v>45</v>
      </c>
      <c r="B28" s="24" t="s">
        <v>44</v>
      </c>
      <c r="C28" s="16" t="s">
        <v>2</v>
      </c>
      <c r="D28" s="17">
        <f>6*8-2</f>
        <v>46</v>
      </c>
      <c r="E28" s="18">
        <v>1300</v>
      </c>
      <c r="F28" s="21">
        <f t="shared" si="0"/>
        <v>59800</v>
      </c>
    </row>
    <row r="29" spans="1:8" s="3" customFormat="1" ht="14.5" customHeight="1" x14ac:dyDescent="0.35">
      <c r="A29" s="23" t="s">
        <v>91</v>
      </c>
      <c r="B29" s="27" t="s">
        <v>46</v>
      </c>
      <c r="C29" s="28" t="s">
        <v>2</v>
      </c>
      <c r="D29" s="17">
        <v>2</v>
      </c>
      <c r="E29" s="18">
        <v>2000</v>
      </c>
      <c r="F29" s="21">
        <f t="shared" si="0"/>
        <v>4000</v>
      </c>
      <c r="H29"/>
    </row>
    <row r="30" spans="1:8" ht="15.5" x14ac:dyDescent="0.35">
      <c r="A30" s="23" t="s">
        <v>47</v>
      </c>
      <c r="B30" s="26" t="s">
        <v>48</v>
      </c>
      <c r="C30" s="16"/>
      <c r="D30" s="17"/>
      <c r="E30" s="18"/>
      <c r="F30" s="21"/>
    </row>
    <row r="31" spans="1:8" ht="14.5" customHeight="1" x14ac:dyDescent="0.35">
      <c r="A31" s="23" t="s">
        <v>49</v>
      </c>
      <c r="B31" s="24" t="s">
        <v>94</v>
      </c>
      <c r="C31" s="16" t="s">
        <v>2</v>
      </c>
      <c r="D31" s="17">
        <v>2</v>
      </c>
      <c r="E31" s="18">
        <v>900</v>
      </c>
      <c r="F31" s="21">
        <f t="shared" si="0"/>
        <v>1800</v>
      </c>
    </row>
    <row r="32" spans="1:8" ht="14.5" customHeight="1" x14ac:dyDescent="0.35">
      <c r="A32" s="23" t="s">
        <v>51</v>
      </c>
      <c r="B32" s="24" t="s">
        <v>50</v>
      </c>
      <c r="C32" s="16" t="s">
        <v>2</v>
      </c>
      <c r="D32" s="17">
        <f>9*2</f>
        <v>18</v>
      </c>
      <c r="E32" s="18">
        <v>1400</v>
      </c>
      <c r="F32" s="21">
        <f t="shared" si="0"/>
        <v>25200</v>
      </c>
    </row>
    <row r="33" spans="1:8" ht="14.5" customHeight="1" x14ac:dyDescent="0.35">
      <c r="A33" s="23" t="s">
        <v>93</v>
      </c>
      <c r="B33" s="24" t="s">
        <v>52</v>
      </c>
      <c r="C33" s="16" t="s">
        <v>2</v>
      </c>
      <c r="D33" s="17">
        <v>12</v>
      </c>
      <c r="E33" s="18">
        <v>1900</v>
      </c>
      <c r="F33" s="21">
        <f t="shared" si="0"/>
        <v>22800</v>
      </c>
    </row>
    <row r="34" spans="1:8" ht="26" x14ac:dyDescent="0.35">
      <c r="A34" s="23" t="s">
        <v>53</v>
      </c>
      <c r="B34" s="26" t="s">
        <v>54</v>
      </c>
      <c r="C34" s="16"/>
      <c r="D34" s="17"/>
      <c r="E34" s="18"/>
      <c r="F34" s="21"/>
    </row>
    <row r="35" spans="1:8" ht="14.5" customHeight="1" x14ac:dyDescent="0.35">
      <c r="A35" s="23" t="s">
        <v>55</v>
      </c>
      <c r="B35" s="27" t="s">
        <v>95</v>
      </c>
      <c r="C35" s="28" t="s">
        <v>2</v>
      </c>
      <c r="D35" s="17">
        <v>1</v>
      </c>
      <c r="E35" s="18">
        <v>1300</v>
      </c>
      <c r="F35" s="21">
        <f t="shared" si="0"/>
        <v>1300</v>
      </c>
    </row>
    <row r="36" spans="1:8" ht="14.5" customHeight="1" x14ac:dyDescent="0.35">
      <c r="A36" s="23" t="s">
        <v>57</v>
      </c>
      <c r="B36" s="24" t="s">
        <v>56</v>
      </c>
      <c r="C36" s="16" t="s">
        <v>2</v>
      </c>
      <c r="D36" s="17">
        <v>9</v>
      </c>
      <c r="E36" s="18">
        <v>2000</v>
      </c>
      <c r="F36" s="21">
        <f t="shared" si="0"/>
        <v>18000</v>
      </c>
    </row>
    <row r="37" spans="1:8" ht="14.5" customHeight="1" x14ac:dyDescent="0.35">
      <c r="A37" s="23" t="s">
        <v>96</v>
      </c>
      <c r="B37" s="24" t="s">
        <v>58</v>
      </c>
      <c r="C37" s="16" t="s">
        <v>2</v>
      </c>
      <c r="D37" s="17">
        <v>6</v>
      </c>
      <c r="E37" s="18">
        <v>2600</v>
      </c>
      <c r="F37" s="21">
        <f t="shared" si="0"/>
        <v>15600</v>
      </c>
    </row>
    <row r="38" spans="1:8" ht="26" x14ac:dyDescent="0.35">
      <c r="A38" s="23" t="s">
        <v>59</v>
      </c>
      <c r="B38" s="26" t="s">
        <v>60</v>
      </c>
      <c r="C38" s="16"/>
      <c r="D38" s="17"/>
      <c r="E38" s="18"/>
      <c r="F38" s="21"/>
    </row>
    <row r="39" spans="1:8" s="3" customFormat="1" ht="14.5" customHeight="1" x14ac:dyDescent="0.35">
      <c r="A39" s="23" t="s">
        <v>61</v>
      </c>
      <c r="B39" s="27" t="s">
        <v>62</v>
      </c>
      <c r="C39" s="28" t="s">
        <v>2</v>
      </c>
      <c r="D39" s="17">
        <v>2</v>
      </c>
      <c r="E39" s="18">
        <v>2400</v>
      </c>
      <c r="F39" s="21">
        <f t="shared" si="0"/>
        <v>4800</v>
      </c>
      <c r="H39"/>
    </row>
    <row r="40" spans="1:8" ht="14.5" customHeight="1" x14ac:dyDescent="0.35">
      <c r="A40" s="23" t="s">
        <v>63</v>
      </c>
      <c r="B40" s="26" t="s">
        <v>64</v>
      </c>
      <c r="C40" s="28" t="s">
        <v>2</v>
      </c>
      <c r="D40" s="17">
        <v>16</v>
      </c>
      <c r="E40" s="18">
        <v>1600</v>
      </c>
      <c r="F40" s="21">
        <f t="shared" si="0"/>
        <v>25600</v>
      </c>
    </row>
    <row r="41" spans="1:8" ht="26" x14ac:dyDescent="0.35">
      <c r="A41" s="23" t="s">
        <v>65</v>
      </c>
      <c r="B41" s="26" t="s">
        <v>66</v>
      </c>
      <c r="C41" s="28" t="s">
        <v>67</v>
      </c>
      <c r="D41" s="17">
        <v>1000</v>
      </c>
      <c r="E41" s="18">
        <v>80</v>
      </c>
      <c r="F41" s="21">
        <f t="shared" si="0"/>
        <v>80000</v>
      </c>
    </row>
    <row r="42" spans="1:8" ht="14.5" customHeight="1" x14ac:dyDescent="0.35">
      <c r="A42" s="22" t="s">
        <v>68</v>
      </c>
      <c r="B42" s="1" t="s">
        <v>69</v>
      </c>
      <c r="C42" s="16"/>
      <c r="D42" s="17"/>
      <c r="E42" s="18"/>
      <c r="F42" s="21"/>
    </row>
    <row r="43" spans="1:8" ht="26" x14ac:dyDescent="0.35">
      <c r="A43" s="23" t="s">
        <v>70</v>
      </c>
      <c r="B43" s="26" t="s">
        <v>71</v>
      </c>
      <c r="C43" s="16"/>
      <c r="D43" s="17"/>
      <c r="E43" s="18"/>
      <c r="F43" s="21"/>
    </row>
    <row r="44" spans="1:8" ht="14.5" customHeight="1" x14ac:dyDescent="0.35">
      <c r="A44" s="23" t="s">
        <v>72</v>
      </c>
      <c r="B44" s="24" t="s">
        <v>97</v>
      </c>
      <c r="C44" s="16" t="s">
        <v>2</v>
      </c>
      <c r="D44" s="17">
        <v>1</v>
      </c>
      <c r="E44" s="18">
        <v>38000</v>
      </c>
      <c r="F44" s="21">
        <f t="shared" si="0"/>
        <v>38000</v>
      </c>
    </row>
    <row r="45" spans="1:8" ht="14.5" customHeight="1" x14ac:dyDescent="0.35">
      <c r="A45" s="23" t="s">
        <v>74</v>
      </c>
      <c r="B45" s="24" t="s">
        <v>73</v>
      </c>
      <c r="C45" s="16" t="s">
        <v>2</v>
      </c>
      <c r="D45" s="17">
        <v>9</v>
      </c>
      <c r="E45" s="18">
        <v>45000</v>
      </c>
      <c r="F45" s="21">
        <f t="shared" si="0"/>
        <v>405000</v>
      </c>
    </row>
    <row r="46" spans="1:8" ht="14.5" customHeight="1" x14ac:dyDescent="0.35">
      <c r="A46" s="23" t="s">
        <v>98</v>
      </c>
      <c r="B46" s="24" t="s">
        <v>75</v>
      </c>
      <c r="C46" s="16" t="s">
        <v>2</v>
      </c>
      <c r="D46" s="17">
        <v>6</v>
      </c>
      <c r="E46" s="18">
        <v>55000</v>
      </c>
      <c r="F46" s="21">
        <f t="shared" si="0"/>
        <v>330000</v>
      </c>
    </row>
    <row r="47" spans="1:8" ht="26" x14ac:dyDescent="0.35">
      <c r="A47" s="23" t="s">
        <v>76</v>
      </c>
      <c r="B47" s="26" t="s">
        <v>77</v>
      </c>
      <c r="C47" s="16"/>
      <c r="D47" s="17"/>
      <c r="E47" s="18"/>
      <c r="F47" s="21"/>
    </row>
    <row r="48" spans="1:8" ht="14.5" customHeight="1" x14ac:dyDescent="0.35">
      <c r="A48" s="23" t="s">
        <v>78</v>
      </c>
      <c r="B48" s="24" t="s">
        <v>100</v>
      </c>
      <c r="C48" s="16" t="s">
        <v>2</v>
      </c>
      <c r="D48" s="17">
        <v>1</v>
      </c>
      <c r="E48" s="18">
        <v>5000</v>
      </c>
      <c r="F48" s="21">
        <f t="shared" si="0"/>
        <v>5000</v>
      </c>
    </row>
    <row r="49" spans="1:6" ht="14.5" customHeight="1" x14ac:dyDescent="0.35">
      <c r="A49" s="23" t="s">
        <v>80</v>
      </c>
      <c r="B49" s="24" t="s">
        <v>79</v>
      </c>
      <c r="C49" s="16" t="s">
        <v>2</v>
      </c>
      <c r="D49" s="17">
        <v>9</v>
      </c>
      <c r="E49" s="18">
        <v>10000</v>
      </c>
      <c r="F49" s="21">
        <f t="shared" si="0"/>
        <v>90000</v>
      </c>
    </row>
    <row r="50" spans="1:6" ht="14.5" customHeight="1" thickBot="1" x14ac:dyDescent="0.4">
      <c r="A50" s="23" t="s">
        <v>99</v>
      </c>
      <c r="B50" s="24" t="s">
        <v>81</v>
      </c>
      <c r="C50" s="16" t="s">
        <v>2</v>
      </c>
      <c r="D50" s="29">
        <v>6</v>
      </c>
      <c r="E50" s="18">
        <v>14000</v>
      </c>
      <c r="F50" s="21">
        <f t="shared" si="0"/>
        <v>84000</v>
      </c>
    </row>
    <row r="51" spans="1:6" ht="16.5" customHeight="1" thickBot="1" x14ac:dyDescent="0.4">
      <c r="A51" s="34" t="s">
        <v>103</v>
      </c>
      <c r="B51" s="35"/>
      <c r="C51" s="35"/>
      <c r="D51" s="36"/>
      <c r="E51" s="37">
        <f>SUM(F4:F50)</f>
        <v>1932900</v>
      </c>
      <c r="F51" s="38"/>
    </row>
    <row r="52" spans="1:6" ht="16.5" customHeight="1" thickBot="1" x14ac:dyDescent="0.4">
      <c r="A52" s="34" t="s">
        <v>82</v>
      </c>
      <c r="B52" s="35"/>
      <c r="C52" s="35"/>
      <c r="D52" s="36"/>
      <c r="E52" s="39">
        <f>E51*0.2</f>
        <v>386580</v>
      </c>
      <c r="F52" s="40"/>
    </row>
    <row r="53" spans="1:6" ht="16.5" customHeight="1" thickBot="1" x14ac:dyDescent="0.4">
      <c r="A53" s="34" t="s">
        <v>104</v>
      </c>
      <c r="B53" s="35"/>
      <c r="C53" s="35"/>
      <c r="D53" s="36"/>
      <c r="E53" s="41">
        <f>SUM(E51:E52)</f>
        <v>2319480</v>
      </c>
      <c r="F53" s="42"/>
    </row>
    <row r="54" spans="1:6" ht="14.25" customHeight="1" x14ac:dyDescent="0.35">
      <c r="A54" s="3"/>
      <c r="D54"/>
      <c r="E54"/>
    </row>
    <row r="55" spans="1:6" ht="15" customHeight="1" x14ac:dyDescent="0.35">
      <c r="A55" s="31"/>
      <c r="B55" s="32"/>
      <c r="D55"/>
      <c r="E55"/>
    </row>
    <row r="56" spans="1:6" ht="15" customHeight="1" x14ac:dyDescent="0.35">
      <c r="A56" s="31"/>
      <c r="B56" s="32"/>
      <c r="D56"/>
      <c r="E56"/>
    </row>
    <row r="57" spans="1:6" ht="16.5" x14ac:dyDescent="0.35">
      <c r="A57" s="31"/>
      <c r="B57" s="30"/>
      <c r="D57"/>
      <c r="E57"/>
    </row>
    <row r="58" spans="1:6" ht="16.5" x14ac:dyDescent="0.35">
      <c r="A58" s="33"/>
      <c r="B58" s="33"/>
      <c r="C58" s="33"/>
      <c r="D58" s="33"/>
      <c r="E58" s="33"/>
      <c r="F58" s="33"/>
    </row>
    <row r="59" spans="1:6" ht="16.5" x14ac:dyDescent="0.35">
      <c r="A59" s="31"/>
      <c r="B59" s="30"/>
      <c r="D59"/>
      <c r="E59"/>
    </row>
  </sheetData>
  <mergeCells count="7">
    <mergeCell ref="A53:D53"/>
    <mergeCell ref="E53:F53"/>
    <mergeCell ref="A58:F58"/>
    <mergeCell ref="A51:D51"/>
    <mergeCell ref="E51:F51"/>
    <mergeCell ref="A52:D52"/>
    <mergeCell ref="E52:F52"/>
  </mergeCells>
  <pageMargins left="0.31496062992125984" right="0.31496062992125984" top="0.35433070866141736" bottom="0.74803149606299213" header="0.31496062992125984" footer="0.31496062992125984"/>
  <pageSetup paperSize="9" scale="74" fitToWidth="0" orientation="portrait" useFirstPageNumber="1" r:id="rId1"/>
  <headerFooter>
    <oddFooter>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BDP</vt:lpstr>
      <vt:lpstr>BDP!Zone_d_impression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2026-06-03T16:04:33Z</dcterms:modified>
</cp:coreProperties>
</file>